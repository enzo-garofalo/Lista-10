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zog\Downloads\"/>
    </mc:Choice>
  </mc:AlternateContent>
  <xr:revisionPtr revIDLastSave="0" documentId="13_ncr:1_{3170E02D-1BE4-4FE3-8E4A-DC92A62C55F5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Resultados - Orden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" i="1" l="1"/>
  <c r="G27" i="1"/>
  <c r="U4" i="1" s="1"/>
  <c r="H26" i="1"/>
  <c r="G26" i="1"/>
  <c r="H25" i="1"/>
  <c r="G25" i="1"/>
  <c r="U2" i="1" s="1"/>
  <c r="H24" i="1"/>
  <c r="G24" i="1"/>
  <c r="T4" i="1" s="1"/>
  <c r="H23" i="1"/>
  <c r="G23" i="1"/>
  <c r="T3" i="1" s="1"/>
  <c r="H22" i="1"/>
  <c r="G22" i="1"/>
  <c r="T2" i="1" s="1"/>
  <c r="H21" i="1"/>
  <c r="G21" i="1"/>
  <c r="S4" i="1" s="1"/>
  <c r="H20" i="1"/>
  <c r="G20" i="1"/>
  <c r="S3" i="1" s="1"/>
  <c r="H19" i="1"/>
  <c r="G19" i="1"/>
  <c r="S2" i="1" s="1"/>
  <c r="U10" i="1"/>
  <c r="T10" i="1"/>
  <c r="S10" i="1"/>
  <c r="U9" i="1"/>
  <c r="T9" i="1"/>
  <c r="S9" i="1"/>
  <c r="U8" i="1"/>
  <c r="T8" i="1"/>
  <c r="S8" i="1"/>
  <c r="U3" i="1"/>
</calcChain>
</file>

<file path=xl/sharedStrings.xml><?xml version="1.0" encoding="utf-8"?>
<sst xmlns="http://schemas.openxmlformats.org/spreadsheetml/2006/main" count="71" uniqueCount="48">
  <si>
    <t>PONTIFÍCIA UNIVERSIDADE CATÓLICA DE CAMPINAS</t>
  </si>
  <si>
    <t>Tamanho</t>
  </si>
  <si>
    <t>Bubble Sort</t>
  </si>
  <si>
    <t>Quick Sort</t>
  </si>
  <si>
    <t>Merge Sort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</si>
  <si>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</si>
  <si>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</si>
  <si>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</si>
  <si>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1. Identificação e ambiente de execução</t>
  </si>
  <si>
    <t>Campo</t>
  </si>
  <si>
    <t>Informação</t>
  </si>
  <si>
    <t>Nome do aluno</t>
  </si>
  <si>
    <t>RA</t>
  </si>
  <si>
    <t>Linguagem de programação utilizada</t>
  </si>
  <si>
    <t>Sistema operacional</t>
  </si>
  <si>
    <t>Processador</t>
  </si>
  <si>
    <t>Memória RAM</t>
  </si>
  <si>
    <t>Link do GitHub com os códigos implementados</t>
  </si>
  <si>
    <t>2. Resultados experimentais</t>
  </si>
  <si>
    <t>Algoritmo</t>
  </si>
  <si>
    <t>Complexidade no caso médio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</si>
  <si>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</si>
  <si>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</si>
  <si>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</si>
  <si>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</si>
  <si>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</si>
  <si>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</si>
  <si>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</si>
  <si>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O(n²)</t>
  </si>
  <si>
    <t>N/C</t>
  </si>
  <si>
    <t>O(n log n)</t>
  </si>
  <si>
    <t>Observação: Preencha os tempos das três execuções em segundos. Para algoritmos que não finalizarem em até 5 minutos, registre N/C nas execuções.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</si>
  <si>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</si>
  <si>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</si>
  <si>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</si>
  <si>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</si>
  <si>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</si>
  <si>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A quantidade de trocas/movimentações acompanhou o crescimento do tempo de execução? Explique.</t>
  </si>
  <si>
    <t>Qual algoritmo apresentou o melhor  e o pior desempenho nos testes realizados?</t>
  </si>
  <si>
    <t>Enzo Garofalo Pampana</t>
  </si>
  <si>
    <t>Python</t>
  </si>
  <si>
    <t>16 GB</t>
  </si>
  <si>
    <t>AMD Ryzen 5</t>
  </si>
  <si>
    <t>https://github.com/enzo-garofalo/Lista-10</t>
  </si>
  <si>
    <t xml:space="preserve">Sim. O Bubble Sort (O(n²)) passou de 0,0441 s (1.000) para 4,6410 s (10.000): com 10× mais elementos, o tempo ficou cerca de 105× maior, como se espera de um algoritmo quadrático (~100×). Em 100.000 ele não terminou em 5 minutos (N/C). Já o Quick e o Merge (O(n log n)) cresceram bem menos: de 10.000 para 100.000 (10× mais dados), o tempo subiu só ~12× (Quick: 0,0220 → 0,2622 s; Merge: 0,0322 → 0,3915 s), perto do esperado para n·log n (~11,7×) e bem longe do 100× quadrático. Portanto, os tempos medidos batem com a complexidade teórica.
</t>
  </si>
  <si>
    <t>Sim. As trocas do Bubble dispararam de 243.362 (1.000) para 25.021.716 (10.000), cerca de 100× mais, o mesmo salto quadrático que o tempo deu (de 0,0441 s para 4,6410 s). No Quick e no Merge as operações cresceram bem devaga, no mesmo ritmo dos tempos. Ou seja, quanto mais operações um algoritmo faz, mais lento ele é: o Bubble faz muito mais e é o mais lento, enquanto Quick e Merge fazem poucas operações e são muito mais rápidos.</t>
  </si>
  <si>
    <t>Melhor desempenho: Quick Sort, o mais rápido em todos os tamanhos (100.000 em ~0,26 s). O Merge Sort ficou logo atrás (~0,39 s), mas tem a vantagem de garantir O(n log n) mesmo no pior caso. Pior desempenho: Bubble Sort, muito mais lento que os outros e o único que não terminou os 100.000 dentro dos 5 minutos (N/C).</t>
  </si>
  <si>
    <t xml:space="preserve">Windows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</si>
</sst>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name val="Calibri"/>
      <charset val="1"/>
    </font>
    <font>
      <b/>
      <sz val="16"/>
      <color rgb="FFFFFFFF"/>
      <name val="Calibri"/>
      <family val="2"/>
    </font>
    <font>
      <b/>
      <u/>
      <sz val="16"/>
      <color rgb="FFFFFFFF"/>
      <name val="Calibri"/>
      <family val="2"/>
      <charset val="1"/>
    </font>
    <font>
      <sz val="11"/>
      <color rgb="FF1F2937"/>
      <name val="Calibri"/>
      <family val="2"/>
    </font>
    <font>
      <b/>
      <sz val="12"/>
      <color rgb="FFFFFFFF"/>
      <name val="Calibri"/>
      <family val="2"/>
    </font>
    <font>
      <b/>
      <sz val="11"/>
      <color rgb="FF1F2937"/>
      <name val="Calibri"/>
      <family val="2"/>
    </font>
    <font>
      <b/>
      <sz val="11"/>
      <color rgb="FF1F2937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i/>
      <sz val="11"/>
      <color rgb="FF1F2937"/>
      <name val="Calibri"/>
      <family val="2"/>
      <charset val="1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5B9BD5"/>
        <bgColor rgb="FF8B8B8B"/>
      </patternFill>
    </fill>
    <fill>
      <patternFill patternType="solid">
        <fgColor rgb="FFBDD7EE"/>
        <bgColor rgb="FFB7C9D6"/>
      </patternFill>
    </fill>
    <fill>
      <patternFill patternType="solid">
        <fgColor rgb="FFFFFFFF"/>
        <bgColor rgb="FFF3F8FC"/>
      </patternFill>
    </fill>
    <fill>
      <patternFill patternType="solid">
        <fgColor rgb="FFF3F8FC"/>
        <bgColor rgb="FFF2F2F2"/>
      </patternFill>
    </fill>
    <fill>
      <patternFill patternType="solid">
        <fgColor rgb="FFF2F2F2"/>
        <bgColor rgb="FFF3F8F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9">
    <xf numFmtId="0" fontId="0" fillId="0" borderId="0" xfId="0"/>
    <xf numFmtId="0" fontId="7" fillId="5" borderId="0" xfId="0" applyFont="1" applyFill="1" applyAlignment="1">
      <alignment vertical="top" wrapText="1"/>
    </xf>
    <xf numFmtId="0" fontId="8" fillId="2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 wrapText="1"/>
    </xf>
    <xf numFmtId="0" fontId="5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top" wrapText="1"/>
    </xf>
    <xf numFmtId="0" fontId="3" fillId="5" borderId="0" xfId="0" applyFont="1" applyFill="1" applyAlignment="1">
      <alignment vertical="top" wrapText="1"/>
    </xf>
    <xf numFmtId="3" fontId="3" fillId="5" borderId="0" xfId="0" applyNumberFormat="1" applyFont="1" applyFill="1" applyAlignment="1">
      <alignment horizontal="center" vertical="top" wrapText="1"/>
    </xf>
    <xf numFmtId="164" fontId="3" fillId="5" borderId="0" xfId="0" applyNumberFormat="1" applyFont="1" applyFill="1" applyAlignment="1">
      <alignment horizontal="center" vertical="center" wrapText="1"/>
    </xf>
    <xf numFmtId="0" fontId="3" fillId="5" borderId="5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3" fontId="3" fillId="5" borderId="6" xfId="0" applyNumberFormat="1" applyFont="1" applyFill="1" applyBorder="1" applyAlignment="1">
      <alignment horizontal="center" vertical="top" wrapText="1"/>
    </xf>
    <xf numFmtId="164" fontId="3" fillId="5" borderId="6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5" fillId="7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165" fontId="3" fillId="8" borderId="0" xfId="0" applyNumberFormat="1" applyFont="1" applyFill="1" applyAlignment="1">
      <alignment horizontal="center" vertical="top" wrapText="1"/>
    </xf>
    <xf numFmtId="165" fontId="3" fillId="8" borderId="6" xfId="0" applyNumberFormat="1" applyFont="1" applyFill="1" applyBorder="1" applyAlignment="1">
      <alignment horizontal="center" vertical="top" wrapText="1"/>
    </xf>
    <xf numFmtId="3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2" fillId="0" borderId="3" xfId="1" applyBorder="1" applyAlignment="1">
      <alignment horizontal="left" vertical="top" wrapText="1"/>
    </xf>
    <xf numFmtId="0" fontId="11" fillId="5" borderId="0" xfId="0" applyFont="1" applyFill="1" applyAlignment="1">
      <alignment vertical="top" wrapText="1"/>
    </xf>
    <xf numFmtId="0" fontId="13" fillId="5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4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numFmt numFmtId="165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numFmt numFmtId="165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numFmt numFmtId="165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7C9D6"/>
      <rgbColor rgb="FF8B8B8B"/>
      <rgbColor rgb="FF5B9BD5"/>
      <rgbColor rgb="FF993366"/>
      <rgbColor rgb="FFF2F2F2"/>
      <rgbColor rgb="FFF3F8FC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0B4A4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C15D29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Tempo médio por algoritmo e tamanho (escala 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- Ordenação'!$S$1</c:f>
              <c:strCache>
                <c:ptCount val="1"/>
                <c:pt idx="0">
                  <c:v>Bubble Sort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'Resultados - Ordenação'!$R$2:$R$4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cat>
          <c:val>
            <c:numRef>
              <c:f>'Resultados - Ordenação'!$S$2:$S$4</c:f>
              <c:numCache>
                <c:formatCode>0.0000</c:formatCode>
                <c:ptCount val="3"/>
                <c:pt idx="0">
                  <c:v>4.413333333333333E-2</c:v>
                </c:pt>
                <c:pt idx="1">
                  <c:v>4.6410000000000009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B-409A-ABC5-5E3DB2534B37}"/>
            </c:ext>
          </c:extLst>
        </c:ser>
        <c:ser>
          <c:idx val="1"/>
          <c:order val="1"/>
          <c:tx>
            <c:strRef>
              <c:f>'Resultados - Ordenação'!$T$1</c:f>
              <c:strCache>
                <c:ptCount val="1"/>
                <c:pt idx="0">
                  <c:v>Quick Sort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'Resultados - Ordenação'!$R$2:$R$4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cat>
          <c:val>
            <c:numRef>
              <c:f>'Resultados - Ordenação'!$T$2:$T$4</c:f>
              <c:numCache>
                <c:formatCode>0.0000</c:formatCode>
                <c:ptCount val="3"/>
                <c:pt idx="0">
                  <c:v>1.5666666666666667E-3</c:v>
                </c:pt>
                <c:pt idx="1">
                  <c:v>2.1966666666666666E-2</c:v>
                </c:pt>
                <c:pt idx="2">
                  <c:v>0.26219999999999999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B-409A-ABC5-5E3DB2534B37}"/>
            </c:ext>
          </c:extLst>
        </c:ser>
        <c:ser>
          <c:idx val="2"/>
          <c:order val="2"/>
          <c:tx>
            <c:strRef>
              <c:f>'Resultados - Ordenação'!$U$1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rgbClr val="196B2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'Resultados - Ordenação'!$R$2:$R$4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cat>
          <c:val>
            <c:numRef>
              <c:f>'Resultados - Ordenação'!$U$2:$U$4</c:f>
              <c:numCache>
                <c:formatCode>0.0000</c:formatCode>
                <c:ptCount val="3"/>
                <c:pt idx="0">
                  <c:v>2.3333333333333331E-3</c:v>
                </c:pt>
                <c:pt idx="1">
                  <c:v>3.2199999999999999E-2</c:v>
                </c:pt>
                <c:pt idx="2">
                  <c:v>0.39153333333333329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B-409A-ABC5-5E3DB253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84372"/>
        <c:axId val="75732499"/>
      </c:barChart>
      <c:catAx>
        <c:axId val="65884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Tamanho do vetor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75732499"/>
        <c:crosses val="autoZero"/>
        <c:auto val="1"/>
        <c:lblAlgn val="ctr"/>
        <c:lblOffset val="100"/>
        <c:noMultiLvlLbl val="0"/>
      </c:catAx>
      <c:valAx>
        <c:axId val="75732499"/>
        <c:scaling>
          <c:logBase val="10"/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Tempo médio (s) — log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65884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Trocas/movimentações por algoritmo e tamanho (escala 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- Ordenação'!$S$7</c:f>
              <c:strCache>
                <c:ptCount val="1"/>
                <c:pt idx="0">
                  <c:v>Bubble Sort</c:v>
                </c:pt>
              </c:strCache>
            </c:strRef>
          </c:tx>
          <c:spPr>
            <a:solidFill>
              <a:srgbClr val="C15D29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'Resultados - Ordenação'!$R$8:$R$10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cat>
          <c:val>
            <c:numRef>
              <c:f>'Resultados - Ordenação'!$S$8:$S$10</c:f>
              <c:numCache>
                <c:formatCode>#,##0</c:formatCode>
                <c:ptCount val="3"/>
                <c:pt idx="0">
                  <c:v>243362</c:v>
                </c:pt>
                <c:pt idx="1">
                  <c:v>25021716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4-47A4-99C0-3BA444FCA34B}"/>
            </c:ext>
          </c:extLst>
        </c:ser>
        <c:ser>
          <c:idx val="1"/>
          <c:order val="1"/>
          <c:tx>
            <c:strRef>
              <c:f>'Resultados - Ordenação'!$T$7</c:f>
              <c:strCache>
                <c:ptCount val="1"/>
                <c:pt idx="0">
                  <c:v>Quick Sort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'Resultados - Ordenação'!$R$8:$R$10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cat>
          <c:val>
            <c:numRef>
              <c:f>'Resultados - Ordenação'!$T$8:$T$10</c:f>
              <c:numCache>
                <c:formatCode>#,##0</c:formatCode>
                <c:ptCount val="3"/>
                <c:pt idx="0">
                  <c:v>4938</c:v>
                </c:pt>
                <c:pt idx="1">
                  <c:v>72102</c:v>
                </c:pt>
                <c:pt idx="2">
                  <c:v>987775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4-47A4-99C0-3BA444FCA34B}"/>
            </c:ext>
          </c:extLst>
        </c:ser>
        <c:ser>
          <c:idx val="2"/>
          <c:order val="2"/>
          <c:tx>
            <c:strRef>
              <c:f>'Resultados - Ordenação'!$U$7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rgbClr val="F0B4A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'Resultados - Ordenação'!$R$8:$R$10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cat>
          <c:val>
            <c:numRef>
              <c:f>'Resultados - Ordenação'!$U$8:$U$10</c:f>
              <c:numCache>
                <c:formatCode>#,##0</c:formatCode>
                <c:ptCount val="3"/>
                <c:pt idx="0">
                  <c:v>9976</c:v>
                </c:pt>
                <c:pt idx="1">
                  <c:v>133616</c:v>
                </c:pt>
                <c:pt idx="2">
                  <c:v>1668928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4-47A4-99C0-3BA444FCA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80166"/>
        <c:axId val="36016042"/>
      </c:barChart>
      <c:catAx>
        <c:axId val="41280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Tamanho do vetor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36016042"/>
        <c:crosses val="autoZero"/>
        <c:auto val="1"/>
        <c:lblAlgn val="ctr"/>
        <c:lblOffset val="100"/>
        <c:noMultiLvlLbl val="0"/>
      </c:catAx>
      <c:valAx>
        <c:axId val="36016042"/>
        <c:scaling>
          <c:logBase val="10"/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Operações — log</a:t>
                </a:r>
              </a:p>
            </c:rich>
          </c:tx>
          <c:layout>
            <c:manualLayout>
              <c:xMode val="edge"/>
              <c:yMode val="edge"/>
              <c:x val="2.8453218582933204E-2"/>
              <c:y val="0.37872195096443584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41280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30</xdr:row>
      <xdr:rowOff>306456</xdr:rowOff>
    </xdr:from>
    <xdr:to>
      <xdr:col>3</xdr:col>
      <xdr:colOff>240195</xdr:colOff>
      <xdr:row>45</xdr:row>
      <xdr:rowOff>182217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215348</xdr:colOff>
      <xdr:row>31</xdr:row>
      <xdr:rowOff>0</xdr:rowOff>
    </xdr:from>
    <xdr:to>
      <xdr:col>9</xdr:col>
      <xdr:colOff>0</xdr:colOff>
      <xdr:row>45</xdr:row>
      <xdr:rowOff>165652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 totalsRowShown="0">
  <tableColumns count="9">
    <tableColumn id="1" xr3:uid="{00000000-0010-0000-0000-000001000000}" name="Algoritmo"/>
    <tableColumn id="2" xr3:uid="{00000000-0010-0000-0000-000002000000}" name="Complexidade no caso médio"/>
    <tableColumn id="3" xr3:uid="{00000000-0010-0000-0000-000003000000}" name="Tamanho do vetor"/>
    <tableColumn id="4" xr3:uid="{00000000-0010-0000-0000-000004000000}" name="Execução 1 (s)" dataDxfId="3"/>
    <tableColumn id="5" xr3:uid="{00000000-0010-0000-0000-000005000000}" name="Execução 2 (s)" dataDxfId="2"/>
    <tableColumn id="6" xr3:uid="{00000000-0010-0000-0000-000006000000}" name="Execução 3 (s)" dataDxfId="1"/>
    <tableColumn id="7" xr3:uid="{00000000-0010-0000-0000-000007000000}" name="Tempo médio (s)"/>
    <tableColumn id="8" xr3:uid="{00000000-0010-0000-0000-000008000000}" name="Desvio padrão (s)"/>
    <tableColumn id="9" xr3:uid="{00000000-0010-0000-0000-000009000000}" name="Trocas ou movimentaçõ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enzo-garofalo/Lista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5"/>
  <sheetViews>
    <sheetView tabSelected="1" zoomScale="115" zoomScaleNormal="115" workbookViewId="0">
      <selection activeCell="B15" sqref="B15:I15"/>
    </sheetView>
  </sheetViews>
  <sheetFormatPr defaultColWidth="8.7109375" defaultRowHeight="15" x14ac:dyDescent="0.25"/>
  <cols>
    <col min="1" max="1" width="28" customWidth="1"/>
    <col min="2" max="2" width="22" customWidth="1"/>
    <col min="3" max="3" width="24" customWidth="1"/>
    <col min="4" max="5" width="16" customWidth="1"/>
    <col min="6" max="8" width="14" customWidth="1"/>
    <col min="9" max="9" width="18" customWidth="1"/>
    <col min="19" max="19" width="11.28515625" bestFit="1" customWidth="1"/>
    <col min="21" max="21" width="10.85546875" bestFit="1" customWidth="1"/>
  </cols>
  <sheetData>
    <row r="1" spans="1:21" ht="21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R1" t="s">
        <v>1</v>
      </c>
      <c r="S1" t="s">
        <v>2</v>
      </c>
      <c r="T1" t="s">
        <v>3</v>
      </c>
      <c r="U1" t="s">
        <v>4</v>
      </c>
    </row>
    <row r="2" spans="1:21" ht="21" customHeight="1" x14ac:dyDescent="0.25">
      <c r="A2" s="9" t="s">
        <v>5</v>
      </c>
      <c r="B2" s="9"/>
      <c r="C2" s="9"/>
      <c r="D2" s="9"/>
      <c r="E2" s="9"/>
      <c r="F2" s="9"/>
      <c r="G2" s="9"/>
      <c r="H2" s="9"/>
      <c r="I2" s="9"/>
      <c r="R2">
        <v>1000</v>
      </c>
      <c r="S2" s="10">
        <f>G19</f>
        <v>4.413333333333333E-2</v>
      </c>
      <c r="T2" s="10">
        <f>G22</f>
        <v>1.5666666666666667E-3</v>
      </c>
      <c r="U2" s="10">
        <f>G25</f>
        <v>2.3333333333333331E-3</v>
      </c>
    </row>
    <row r="3" spans="1:21" ht="21" customHeight="1" x14ac:dyDescent="0.25">
      <c r="A3" s="9" t="s">
        <v>6</v>
      </c>
      <c r="B3" s="9"/>
      <c r="C3" s="9"/>
      <c r="D3" s="9"/>
      <c r="E3" s="9"/>
      <c r="F3" s="9"/>
      <c r="G3" s="9"/>
      <c r="H3" s="9"/>
      <c r="I3" s="9"/>
      <c r="R3">
        <v>10000</v>
      </c>
      <c r="S3" s="10">
        <f>G20</f>
        <v>4.6410000000000009</v>
      </c>
      <c r="T3" s="10">
        <f>G23</f>
        <v>2.1966666666666666E-2</v>
      </c>
      <c r="U3" s="10">
        <f>G26</f>
        <v>3.2199999999999999E-2</v>
      </c>
    </row>
    <row r="4" spans="1:21" ht="21" customHeight="1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R4">
        <v>100000</v>
      </c>
      <c r="S4" t="str">
        <f>G21</f>
        <v/>
      </c>
      <c r="T4" s="10">
        <f>G24</f>
        <v>0.26219999999999999</v>
      </c>
      <c r="U4" s="10">
        <f>G27</f>
        <v>0.39153333333333329</v>
      </c>
    </row>
    <row r="5" spans="1:21" ht="30" customHeight="1" x14ac:dyDescent="0.25">
      <c r="A5" s="8"/>
      <c r="B5" s="8"/>
      <c r="C5" s="8"/>
      <c r="D5" s="8"/>
      <c r="E5" s="8"/>
      <c r="F5" s="8"/>
      <c r="G5" s="8"/>
      <c r="H5" s="8"/>
      <c r="I5" s="8"/>
    </row>
    <row r="6" spans="1:21" x14ac:dyDescent="0.25">
      <c r="A6" s="11"/>
      <c r="B6" s="11"/>
      <c r="C6" s="11"/>
      <c r="D6" s="11"/>
      <c r="E6" s="11"/>
      <c r="F6" s="11"/>
      <c r="G6" s="11"/>
      <c r="H6" s="11"/>
      <c r="I6" s="11"/>
    </row>
    <row r="7" spans="1:21" ht="24" customHeight="1" x14ac:dyDescent="0.25">
      <c r="A7" s="7" t="s">
        <v>8</v>
      </c>
      <c r="B7" s="7"/>
      <c r="C7" s="7"/>
      <c r="D7" s="7"/>
      <c r="E7" s="7"/>
      <c r="F7" s="7"/>
      <c r="G7" s="7"/>
      <c r="H7" s="7"/>
      <c r="I7" s="7"/>
      <c r="R7" t="s">
        <v>1</v>
      </c>
      <c r="S7" t="s">
        <v>2</v>
      </c>
      <c r="T7" t="s">
        <v>3</v>
      </c>
      <c r="U7" t="s">
        <v>4</v>
      </c>
    </row>
    <row r="8" spans="1:21" ht="15" customHeight="1" x14ac:dyDescent="0.25">
      <c r="A8" s="12" t="s">
        <v>9</v>
      </c>
      <c r="B8" s="6" t="s">
        <v>10</v>
      </c>
      <c r="C8" s="6"/>
      <c r="D8" s="6"/>
      <c r="E8" s="6"/>
      <c r="F8" s="6"/>
      <c r="G8" s="6"/>
      <c r="H8" s="6"/>
      <c r="I8" s="6"/>
      <c r="R8">
        <v>1000</v>
      </c>
      <c r="S8" s="13">
        <f>I19</f>
        <v>243362</v>
      </c>
      <c r="T8" s="13">
        <f>I22</f>
        <v>4938</v>
      </c>
      <c r="U8" s="13">
        <f>I25</f>
        <v>9976</v>
      </c>
    </row>
    <row r="9" spans="1:21" ht="15" customHeight="1" x14ac:dyDescent="0.25">
      <c r="A9" s="14" t="s">
        <v>11</v>
      </c>
      <c r="B9" s="34" t="s">
        <v>39</v>
      </c>
      <c r="C9" s="34"/>
      <c r="D9" s="34"/>
      <c r="E9" s="34"/>
      <c r="F9" s="34"/>
      <c r="G9" s="34"/>
      <c r="H9" s="34"/>
      <c r="I9" s="35"/>
      <c r="R9">
        <v>10000</v>
      </c>
      <c r="S9" s="13">
        <f>I20</f>
        <v>25021716</v>
      </c>
      <c r="T9" s="13">
        <f>I23</f>
        <v>72102</v>
      </c>
      <c r="U9" s="13">
        <f>I26</f>
        <v>133616</v>
      </c>
    </row>
    <row r="10" spans="1:21" ht="15" customHeight="1" x14ac:dyDescent="0.25">
      <c r="A10" s="14" t="s">
        <v>12</v>
      </c>
      <c r="B10" s="34">
        <v>24008914</v>
      </c>
      <c r="C10" s="34"/>
      <c r="D10" s="34"/>
      <c r="E10" s="34"/>
      <c r="F10" s="34"/>
      <c r="G10" s="34"/>
      <c r="H10" s="34"/>
      <c r="I10" s="35"/>
      <c r="R10">
        <v>100000</v>
      </c>
      <c r="S10" t="str">
        <f>I21</f>
        <v>N/C</v>
      </c>
      <c r="T10" s="13">
        <f>I24</f>
        <v>987775</v>
      </c>
      <c r="U10" s="13">
        <f>I27</f>
        <v>1668928</v>
      </c>
    </row>
    <row r="11" spans="1:21" ht="30" customHeight="1" x14ac:dyDescent="0.25">
      <c r="A11" s="14" t="s">
        <v>13</v>
      </c>
      <c r="B11" s="34" t="s">
        <v>40</v>
      </c>
      <c r="C11" s="34"/>
      <c r="D11" s="34"/>
      <c r="E11" s="34"/>
      <c r="F11" s="34"/>
      <c r="G11" s="34"/>
      <c r="H11" s="34"/>
      <c r="I11" s="35"/>
    </row>
    <row r="12" spans="1:21" ht="15" customHeight="1" x14ac:dyDescent="0.25">
      <c r="A12" s="15" t="s">
        <v>14</v>
      </c>
      <c r="B12" s="34" t="s">
        <v>47</v>
      </c>
      <c r="C12" s="34"/>
      <c r="D12" s="34"/>
      <c r="E12" s="34"/>
      <c r="F12" s="34"/>
      <c r="G12" s="34"/>
      <c r="H12" s="34"/>
      <c r="I12" s="35"/>
    </row>
    <row r="13" spans="1:21" ht="15" customHeight="1" x14ac:dyDescent="0.25">
      <c r="A13" s="15" t="s">
        <v>15</v>
      </c>
      <c r="B13" s="34" t="s">
        <v>42</v>
      </c>
      <c r="C13" s="34"/>
      <c r="D13" s="34"/>
      <c r="E13" s="34"/>
      <c r="F13" s="34"/>
      <c r="G13" s="34"/>
      <c r="H13" s="34"/>
      <c r="I13" s="35"/>
    </row>
    <row r="14" spans="1:21" ht="15" customHeight="1" x14ac:dyDescent="0.25">
      <c r="A14" s="15" t="s">
        <v>16</v>
      </c>
      <c r="B14" s="34" t="s">
        <v>41</v>
      </c>
      <c r="C14" s="34"/>
      <c r="D14" s="34"/>
      <c r="E14" s="34"/>
      <c r="F14" s="34"/>
      <c r="G14" s="34"/>
      <c r="H14" s="34"/>
      <c r="I14" s="35"/>
    </row>
    <row r="15" spans="1:21" ht="30" customHeight="1" x14ac:dyDescent="0.25">
      <c r="A15" s="15" t="s">
        <v>17</v>
      </c>
      <c r="B15" s="36" t="s">
        <v>43</v>
      </c>
      <c r="C15" s="5"/>
      <c r="D15" s="5"/>
      <c r="E15" s="5"/>
      <c r="F15" s="5"/>
      <c r="G15" s="5"/>
      <c r="H15" s="5"/>
      <c r="I15" s="5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24" customHeight="1" x14ac:dyDescent="0.25">
      <c r="A17" s="7" t="s">
        <v>18</v>
      </c>
      <c r="B17" s="7"/>
      <c r="C17" s="7"/>
      <c r="D17" s="7"/>
      <c r="E17" s="7"/>
      <c r="F17" s="7"/>
      <c r="G17" s="7"/>
      <c r="H17" s="7"/>
      <c r="I17" s="7"/>
    </row>
    <row r="18" spans="1:9" ht="42" customHeight="1" x14ac:dyDescent="0.25">
      <c r="A18" s="16" t="s">
        <v>19</v>
      </c>
      <c r="B18" s="17" t="s">
        <v>20</v>
      </c>
      <c r="C18" s="18" t="s">
        <v>21</v>
      </c>
      <c r="D18" s="18" t="s">
        <v>22</v>
      </c>
      <c r="E18" s="18" t="s">
        <v>23</v>
      </c>
      <c r="F18" s="18" t="s">
        <v>24</v>
      </c>
      <c r="G18" s="18" t="s">
        <v>25</v>
      </c>
      <c r="H18" s="18" t="s">
        <v>26</v>
      </c>
      <c r="I18" s="18" t="s">
        <v>27</v>
      </c>
    </row>
    <row r="19" spans="1:9" ht="37.5" customHeight="1" x14ac:dyDescent="0.25">
      <c r="A19" s="19" t="s">
        <v>2</v>
      </c>
      <c r="B19" s="20" t="s">
        <v>28</v>
      </c>
      <c r="C19" s="21">
        <v>1000</v>
      </c>
      <c r="D19" s="30">
        <v>4.4499999999999998E-2</v>
      </c>
      <c r="E19" s="30">
        <v>4.3799999999999999E-2</v>
      </c>
      <c r="F19" s="30">
        <v>4.41E-2</v>
      </c>
      <c r="G19" s="22">
        <f t="shared" ref="G19:G27" si="0">IF(COUNT(D19:F19)=0,"",AVERAGE(D19:F19))</f>
        <v>4.413333333333333E-2</v>
      </c>
      <c r="H19" s="22">
        <f t="shared" ref="H19:H27" si="1">IF(COUNT(D19:F19)&lt;2,"",_xlfn.STDEV.S(D19:F19))</f>
        <v>3.5118845842842418E-4</v>
      </c>
      <c r="I19" s="32">
        <v>243362</v>
      </c>
    </row>
    <row r="20" spans="1:9" ht="37.5" customHeight="1" x14ac:dyDescent="0.25">
      <c r="A20" s="19" t="s">
        <v>2</v>
      </c>
      <c r="B20" s="20" t="s">
        <v>28</v>
      </c>
      <c r="C20" s="21">
        <v>10000</v>
      </c>
      <c r="D20" s="30">
        <v>4.7830000000000004</v>
      </c>
      <c r="E20" s="30">
        <v>4.6037999999999997</v>
      </c>
      <c r="F20" s="30">
        <v>4.5362</v>
      </c>
      <c r="G20" s="22">
        <f t="shared" si="0"/>
        <v>4.6410000000000009</v>
      </c>
      <c r="H20" s="22">
        <f t="shared" si="1"/>
        <v>0.12753603412369408</v>
      </c>
      <c r="I20" s="32">
        <v>25021716</v>
      </c>
    </row>
    <row r="21" spans="1:9" ht="37.5" customHeight="1" x14ac:dyDescent="0.25">
      <c r="A21" s="19" t="s">
        <v>2</v>
      </c>
      <c r="B21" s="20" t="s">
        <v>28</v>
      </c>
      <c r="C21" s="21">
        <v>100000</v>
      </c>
      <c r="D21" s="30" t="s">
        <v>29</v>
      </c>
      <c r="E21" s="30" t="s">
        <v>29</v>
      </c>
      <c r="F21" s="30" t="s">
        <v>29</v>
      </c>
      <c r="G21" s="22" t="str">
        <f t="shared" si="0"/>
        <v/>
      </c>
      <c r="H21" s="22" t="str">
        <f t="shared" si="1"/>
        <v/>
      </c>
      <c r="I21" s="33" t="s">
        <v>29</v>
      </c>
    </row>
    <row r="22" spans="1:9" ht="37.5" customHeight="1" x14ac:dyDescent="0.25">
      <c r="A22" s="19" t="s">
        <v>3</v>
      </c>
      <c r="B22" s="20" t="s">
        <v>30</v>
      </c>
      <c r="C22" s="21">
        <v>1000</v>
      </c>
      <c r="D22" s="30">
        <v>1.8E-3</v>
      </c>
      <c r="E22" s="30">
        <v>1.5E-3</v>
      </c>
      <c r="F22" s="30">
        <v>1.4E-3</v>
      </c>
      <c r="G22" s="22">
        <f t="shared" si="0"/>
        <v>1.5666666666666667E-3</v>
      </c>
      <c r="H22" s="22">
        <f t="shared" si="1"/>
        <v>2.0816659994661325E-4</v>
      </c>
      <c r="I22" s="32">
        <v>4938</v>
      </c>
    </row>
    <row r="23" spans="1:9" ht="37.5" customHeight="1" x14ac:dyDescent="0.25">
      <c r="A23" s="19" t="s">
        <v>3</v>
      </c>
      <c r="B23" s="20" t="s">
        <v>30</v>
      </c>
      <c r="C23" s="21">
        <v>10000</v>
      </c>
      <c r="D23" s="30">
        <v>2.4799999999999999E-2</v>
      </c>
      <c r="E23" s="30">
        <v>2.18E-2</v>
      </c>
      <c r="F23" s="30">
        <v>1.9300000000000001E-2</v>
      </c>
      <c r="G23" s="22">
        <f t="shared" si="0"/>
        <v>2.1966666666666666E-2</v>
      </c>
      <c r="H23" s="22">
        <f t="shared" si="1"/>
        <v>2.75378527364305E-3</v>
      </c>
      <c r="I23" s="32">
        <v>72102</v>
      </c>
    </row>
    <row r="24" spans="1:9" ht="37.5" customHeight="1" x14ac:dyDescent="0.25">
      <c r="A24" s="19" t="s">
        <v>3</v>
      </c>
      <c r="B24" s="20" t="s">
        <v>30</v>
      </c>
      <c r="C24" s="21">
        <v>100000</v>
      </c>
      <c r="D24" s="30">
        <v>0.27760000000000001</v>
      </c>
      <c r="E24" s="30">
        <v>0.2485</v>
      </c>
      <c r="F24" s="30">
        <v>0.26050000000000001</v>
      </c>
      <c r="G24" s="22">
        <f t="shared" si="0"/>
        <v>0.26219999999999999</v>
      </c>
      <c r="H24" s="22">
        <f t="shared" si="1"/>
        <v>1.4624294854795571E-2</v>
      </c>
      <c r="I24" s="32">
        <v>987775</v>
      </c>
    </row>
    <row r="25" spans="1:9" ht="37.5" customHeight="1" x14ac:dyDescent="0.25">
      <c r="A25" s="19" t="s">
        <v>4</v>
      </c>
      <c r="B25" s="20" t="s">
        <v>30</v>
      </c>
      <c r="C25" s="21">
        <v>1000</v>
      </c>
      <c r="D25" s="30">
        <v>2.5999999999999999E-3</v>
      </c>
      <c r="E25" s="30">
        <v>2.0999999999999999E-3</v>
      </c>
      <c r="F25" s="30">
        <v>2.3E-3</v>
      </c>
      <c r="G25" s="22">
        <f t="shared" si="0"/>
        <v>2.3333333333333331E-3</v>
      </c>
      <c r="H25" s="22">
        <f t="shared" si="1"/>
        <v>2.5166114784235834E-4</v>
      </c>
      <c r="I25" s="32">
        <v>9976</v>
      </c>
    </row>
    <row r="26" spans="1:9" ht="37.5" customHeight="1" x14ac:dyDescent="0.25">
      <c r="A26" s="19" t="s">
        <v>4</v>
      </c>
      <c r="B26" s="20" t="s">
        <v>30</v>
      </c>
      <c r="C26" s="21">
        <v>10000</v>
      </c>
      <c r="D26" s="30">
        <v>3.7400000000000003E-2</v>
      </c>
      <c r="E26" s="30">
        <v>3.0499999999999999E-2</v>
      </c>
      <c r="F26" s="30">
        <v>2.87E-2</v>
      </c>
      <c r="G26" s="22">
        <f t="shared" si="0"/>
        <v>3.2199999999999999E-2</v>
      </c>
      <c r="H26" s="22">
        <f t="shared" si="1"/>
        <v>4.5923850012820153E-3</v>
      </c>
      <c r="I26" s="32">
        <v>133616</v>
      </c>
    </row>
    <row r="27" spans="1:9" ht="37.5" customHeight="1" x14ac:dyDescent="0.25">
      <c r="A27" s="23" t="s">
        <v>4</v>
      </c>
      <c r="B27" s="24" t="s">
        <v>30</v>
      </c>
      <c r="C27" s="25">
        <v>100000</v>
      </c>
      <c r="D27" s="31">
        <v>0.36809999999999998</v>
      </c>
      <c r="E27" s="31">
        <v>0.38450000000000001</v>
      </c>
      <c r="F27" s="31">
        <v>0.42199999999999999</v>
      </c>
      <c r="G27" s="22">
        <f t="shared" si="0"/>
        <v>0.39153333333333329</v>
      </c>
      <c r="H27" s="26">
        <f t="shared" si="1"/>
        <v>2.7629754492816856E-2</v>
      </c>
      <c r="I27" s="32">
        <v>1668928</v>
      </c>
    </row>
    <row r="28" spans="1:9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spans="1:9" ht="36" customHeight="1" x14ac:dyDescent="0.25">
      <c r="A29" s="4" t="s">
        <v>31</v>
      </c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24" customHeight="1" x14ac:dyDescent="0.25">
      <c r="A31" s="7" t="s">
        <v>32</v>
      </c>
      <c r="B31" s="7"/>
      <c r="C31" s="7"/>
      <c r="D31" s="7"/>
      <c r="E31" s="7"/>
      <c r="F31" s="7"/>
      <c r="G31" s="7"/>
      <c r="H31" s="7"/>
      <c r="I31" s="7"/>
    </row>
    <row r="32" spans="1:9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</row>
    <row r="34" spans="1:9" ht="1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</row>
    <row r="35" spans="1:9" ht="1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</row>
    <row r="36" spans="1:9" ht="1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</row>
    <row r="37" spans="1:9" ht="1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</row>
    <row r="38" spans="1:9" ht="1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</row>
    <row r="39" spans="1:9" ht="1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</row>
    <row r="40" spans="1:9" ht="1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</row>
    <row r="41" spans="1:9" ht="1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</row>
    <row r="42" spans="1:9" ht="1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</row>
    <row r="43" spans="1:9" ht="1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</row>
    <row r="44" spans="1:9" ht="1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</row>
    <row r="45" spans="1:9" ht="1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</row>
    <row r="46" spans="1:9" x14ac:dyDescent="0.25">
      <c r="A46" s="27"/>
      <c r="B46" s="27"/>
      <c r="C46" s="27"/>
      <c r="D46" s="27"/>
      <c r="E46" s="27"/>
      <c r="F46" s="27"/>
      <c r="G46" s="27"/>
      <c r="H46" s="27"/>
      <c r="I46" s="27"/>
    </row>
    <row r="47" spans="1:9" ht="24" customHeight="1" x14ac:dyDescent="0.25">
      <c r="A47" s="7" t="s">
        <v>33</v>
      </c>
      <c r="B47" s="7"/>
      <c r="C47" s="7"/>
      <c r="D47" s="7"/>
      <c r="E47" s="7"/>
      <c r="F47" s="7"/>
      <c r="G47" s="7"/>
      <c r="H47" s="7"/>
      <c r="I47" s="7"/>
    </row>
    <row r="48" spans="1:9" ht="15" customHeight="1" x14ac:dyDescent="0.25">
      <c r="A48" s="16" t="s">
        <v>34</v>
      </c>
      <c r="B48" s="2" t="s">
        <v>35</v>
      </c>
      <c r="C48" s="2"/>
      <c r="D48" s="2"/>
      <c r="E48" s="2"/>
      <c r="F48" s="2"/>
      <c r="G48" s="2"/>
      <c r="H48" s="2"/>
      <c r="I48" s="2"/>
    </row>
    <row r="49" spans="1:9" ht="92.25" customHeight="1" x14ac:dyDescent="0.25">
      <c r="A49" s="28" t="s">
        <v>36</v>
      </c>
      <c r="B49" s="37" t="s">
        <v>44</v>
      </c>
      <c r="C49" s="1"/>
      <c r="D49" s="1"/>
      <c r="E49" s="1"/>
      <c r="F49" s="1"/>
      <c r="G49" s="1"/>
      <c r="H49" s="1"/>
      <c r="I49" s="1"/>
    </row>
    <row r="50" spans="1:9" ht="102" customHeight="1" x14ac:dyDescent="0.25">
      <c r="A50" s="28" t="s">
        <v>37</v>
      </c>
      <c r="B50" s="37" t="s">
        <v>45</v>
      </c>
      <c r="C50" s="1"/>
      <c r="D50" s="1"/>
      <c r="E50" s="1"/>
      <c r="F50" s="1"/>
      <c r="G50" s="1"/>
      <c r="H50" s="1"/>
      <c r="I50" s="1"/>
    </row>
    <row r="51" spans="1:9" ht="63.75" customHeight="1" x14ac:dyDescent="0.25">
      <c r="A51" s="29" t="s">
        <v>38</v>
      </c>
      <c r="B51" s="38" t="s">
        <v>46</v>
      </c>
      <c r="C51" s="38"/>
      <c r="D51" s="38"/>
      <c r="E51" s="38"/>
      <c r="F51" s="38"/>
      <c r="G51" s="38"/>
      <c r="H51" s="38"/>
      <c r="I51" s="38"/>
    </row>
    <row r="52" spans="1:9" x14ac:dyDescent="0.25">
      <c r="A52" s="11"/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11"/>
      <c r="B53" s="11"/>
      <c r="C53" s="11"/>
      <c r="D53" s="11"/>
      <c r="E53" s="11"/>
      <c r="F53" s="11"/>
      <c r="G53" s="11"/>
      <c r="H53" s="11"/>
      <c r="I53" s="11"/>
    </row>
    <row r="54" spans="1:9" x14ac:dyDescent="0.25">
      <c r="A54" s="11"/>
      <c r="B54" s="11"/>
      <c r="C54" s="11"/>
      <c r="D54" s="11"/>
      <c r="E54" s="11"/>
      <c r="F54" s="11"/>
      <c r="G54" s="11"/>
      <c r="H54" s="11"/>
      <c r="I54" s="11"/>
    </row>
    <row r="55" spans="1:9" x14ac:dyDescent="0.25">
      <c r="A55" s="11"/>
      <c r="B55" s="11"/>
      <c r="C55" s="11"/>
      <c r="D55" s="11"/>
      <c r="E55" s="11"/>
      <c r="F55" s="11"/>
      <c r="G55" s="11"/>
      <c r="H55" s="11"/>
      <c r="I55" s="11"/>
    </row>
  </sheetData>
  <mergeCells count="22">
    <mergeCell ref="B50:I50"/>
    <mergeCell ref="B51:I51"/>
    <mergeCell ref="A31:I31"/>
    <mergeCell ref="A32:I32"/>
    <mergeCell ref="A47:I47"/>
    <mergeCell ref="B48:I48"/>
    <mergeCell ref="B49:I49"/>
    <mergeCell ref="B13:I13"/>
    <mergeCell ref="B14:I14"/>
    <mergeCell ref="B15:I15"/>
    <mergeCell ref="A17:I17"/>
    <mergeCell ref="A29:I29"/>
    <mergeCell ref="B8:I8"/>
    <mergeCell ref="B9:I9"/>
    <mergeCell ref="B10:I10"/>
    <mergeCell ref="B11:I11"/>
    <mergeCell ref="B12:I12"/>
    <mergeCell ref="A1:I1"/>
    <mergeCell ref="A2:I2"/>
    <mergeCell ref="A3:I3"/>
    <mergeCell ref="A4:I5"/>
    <mergeCell ref="A7:I7"/>
  </mergeCells>
  <dataValidations count="5">
    <dataValidation type="list" sqref="A19:A27" xr:uid="{00000000-0002-0000-0000-000000000000}">
      <formula1>"Bubble Sort,Insertion Sort,Selection Sort,Merge Sort,Quick Sort,Heap Sort"</formula1>
      <formula2>0</formula2>
    </dataValidation>
    <dataValidation type="list" sqref="B19:B27" xr:uid="{00000000-0002-0000-0000-000001000000}">
      <formula1>"O(n log n),O(n²),"</formula1>
      <formula2>0</formula2>
    </dataValidation>
    <dataValidation showDropDown="1" sqref="I19:I27" xr:uid="{00000000-0002-0000-0000-000002000000}">
      <formula1>0</formula1>
      <formula2>0</formula2>
    </dataValidation>
    <dataValidation sqref="G19:H27" xr:uid="{00000000-0002-0000-0000-000003000000}">
      <formula1>0</formula1>
      <formula2>0</formula2>
    </dataValidation>
    <dataValidation sqref="D19:F27" xr:uid="{3B68AC67-66FB-48E6-A958-459C063D3A86}"/>
  </dataValidations>
  <hyperlinks>
    <hyperlink ref="B15" r:id="rId1" xr:uid="{CDD29568-37D4-470F-8B53-CDB02BE4B77B}"/>
  </hyperlinks>
  <pageMargins left="0.25" right="0.25" top="0.75" bottom="0.75" header="0.511811023622047" footer="0.511811023622047"/>
  <pageSetup paperSize="9" fitToWidth="0" orientation="portrait" horizontalDpi="300" verticalDpi="30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- Ordenação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Enzo Garofalo</cp:lastModifiedBy>
  <cp:revision>1</cp:revision>
  <cp:lastPrinted>2026-05-15T01:37:28Z</cp:lastPrinted>
  <dcterms:created xsi:type="dcterms:W3CDTF">2026-06-08T10:31:11Z</dcterms:created>
  <dcterms:modified xsi:type="dcterms:W3CDTF">2026-06-08T11:16:05Z</dcterms:modified>
  <dc:language>en-US</dc:language>
</cp:coreProperties>
</file>